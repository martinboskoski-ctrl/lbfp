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racker" sheetId="2" r:id="rId6"/>
    <sheet state="visible" name="Client Email Draft" sheetId="3" r:id="rId7"/>
    <sheet state="visible" name="Process Rules" sheetId="4" r:id="rId8"/>
  </sheets>
  <definedNames/>
  <calcPr/>
</workbook>
</file>

<file path=xl/sharedStrings.xml><?xml version="1.0" encoding="utf-8"?>
<sst xmlns="http://schemas.openxmlformats.org/spreadsheetml/2006/main" count="72" uniqueCount="61">
  <si>
    <t>Internal Communication Pipeline</t>
  </si>
  <si>
    <t>Total Active</t>
  </si>
  <si>
    <t>Pending R&amp;D</t>
  </si>
  <si>
    <t>Pending Packaging</t>
  </si>
  <si>
    <t>Pending Foil</t>
  </si>
  <si>
    <t>Pending QC</t>
  </si>
  <si>
    <t>Action Required: Pending &amp; In Progress Requests</t>
  </si>
  <si>
    <t>Date</t>
  </si>
  <si>
    <t>Product Name</t>
  </si>
  <si>
    <t>Target Team</t>
  </si>
  <si>
    <t>Request / Action</t>
  </si>
  <si>
    <t>Deadline</t>
  </si>
  <si>
    <t>Assignee</t>
  </si>
  <si>
    <t>Status</t>
  </si>
  <si>
    <t>Process Phase</t>
  </si>
  <si>
    <t>Assignee (@mention)</t>
  </si>
  <si>
    <t>Team Response</t>
  </si>
  <si>
    <t xml:space="preserve">Client Approval </t>
  </si>
  <si>
    <t>Protein Bar 1</t>
  </si>
  <si>
    <t>Phase 1: Idea</t>
  </si>
  <si>
    <t>R&amp;D</t>
  </si>
  <si>
    <t>Question 1 from client</t>
  </si>
  <si>
    <t>This is response for question 1</t>
  </si>
  <si>
    <t>Answered</t>
  </si>
  <si>
    <t>Oat Bar 1</t>
  </si>
  <si>
    <t>Phase 2: Evaluation of the idea</t>
  </si>
  <si>
    <t>Packaging Design</t>
  </si>
  <si>
    <t xml:space="preserve">Question 2 from client </t>
  </si>
  <si>
    <t>This is response for question 2</t>
  </si>
  <si>
    <t>In Progress</t>
  </si>
  <si>
    <t>Procurement</t>
  </si>
  <si>
    <t>Question 3 from client</t>
  </si>
  <si>
    <t>Auto-Generated Client Email</t>
  </si>
  <si>
    <t>Phase</t>
  </si>
  <si>
    <t>Description</t>
  </si>
  <si>
    <t>Key Actions</t>
  </si>
  <si>
    <t>The idea comes from the buyer (customer). Define the product (size, weight, layers, flavour, nutrition).</t>
  </si>
  <si>
    <t>Fill PL initial interest template.</t>
  </si>
  <si>
    <t>Observation of the idea and checking the possibility of production.</t>
  </si>
  <si>
    <t>Decision to proceed or not sent by mail.</t>
  </si>
  <si>
    <t>Phase 3: Plan for realization</t>
  </si>
  <si>
    <t>Plan for lab trials, creating recipes, and supplying raw materials.</t>
  </si>
  <si>
    <t>Create recipes, supply materials, conduct trials.</t>
  </si>
  <si>
    <t>Phase 4: Feedback from the client</t>
  </si>
  <si>
    <t>Samples are sent to clients for evaluation. Client gives precise comments.</t>
  </si>
  <si>
    <t>Fill table for evaluation.</t>
  </si>
  <si>
    <t>Phase 5: Design / Logistic / procurement</t>
  </si>
  <si>
    <t>Client suggests foil/display/box. Procurement prepares layout.</t>
  </si>
  <si>
    <t>Prepare layout, nutrition and declaration.</t>
  </si>
  <si>
    <t>Phase 6: Industrial trial</t>
  </si>
  <si>
    <t>Recipe tested in industrial conditions (min 50kg). Samples sent to client for approval.</t>
  </si>
  <si>
    <t>Make APPROVAL DOCUMENT FOR PRERUN SAMPLES.</t>
  </si>
  <si>
    <t>Phase 7: Approval of the design</t>
  </si>
  <si>
    <t>Client prepares design, sent to procurement. Q.Control checks declaration/nutrition.</t>
  </si>
  <si>
    <t>Prepare PDF proof, approve design.</t>
  </si>
  <si>
    <t>Phase 8: Planning of the production</t>
  </si>
  <si>
    <t>Production makes a plan for the first industrial production.</t>
  </si>
  <si>
    <t>Make production plan.</t>
  </si>
  <si>
    <t>Phase 9: Verification of the production</t>
  </si>
  <si>
    <t>Development present in 3 consecutive productions to validate. Test RFT and performance rate.</t>
  </si>
  <si>
    <t>Verify production, test RFT and performance.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</si>
</sst>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&quot;/&quot;yyyy"/>
    <numFmt numFmtId="165" formatCode="yyyy-mm-dd"/>
    <numFmt numFmtId="166" formatCode="d&quot;/&quot;m&quot;/&quot;yyyy"/>
  </numFmts>
  <fonts count="13">
    <font>
      <sz val="10.0"/>
      <color rgb="FF000000"/>
      <name val="Arial"/>
      <scheme val="minor"/>
    </font>
    <font>
      <b/>
      <sz val="24.0"/>
      <color rgb="FF1D293B"/>
      <name val="Montserrat"/>
    </font>
    <font>
      <b/>
      <color theme="1"/>
      <name val="Arial"/>
      <scheme val="minor"/>
    </font>
    <font>
      <sz val="18.0"/>
      <color theme="1"/>
      <name val="Roboto"/>
    </font>
    <font>
      <b/>
      <sz val="16.0"/>
      <color theme="1"/>
      <name val="Montserrat"/>
    </font>
    <font>
      <b/>
      <color rgb="FFFFFFFF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color rgb="FFFFFFFF"/>
      <name val="Montserrat"/>
    </font>
    <font>
      <b/>
      <sz val="10.0"/>
      <color rgb="FFFFFFFF"/>
      <name val="Montserrat"/>
    </font>
    <font>
      <sz val="14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0F5F8"/>
        <bgColor rgb="FFF0F5F8"/>
      </patternFill>
    </fill>
    <fill>
      <patternFill patternType="solid">
        <fgColor rgb="FF1D283A"/>
        <bgColor rgb="FF1D283A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horizontal="center" readingOrder="0"/>
    </xf>
    <xf borderId="0" fillId="0" fontId="6" numFmtId="164" xfId="0" applyFont="1" applyNumberFormat="1"/>
    <xf borderId="0" fillId="0" fontId="6" numFmtId="0" xfId="0" applyFont="1"/>
    <xf borderId="0" fillId="0" fontId="6" numFmtId="165" xfId="0" applyFont="1" applyNumberFormat="1"/>
    <xf borderId="0" fillId="0" fontId="6" numFmtId="0" xfId="0" applyAlignment="1" applyFont="1">
      <alignment horizontal="center" vertical="center"/>
    </xf>
    <xf borderId="0" fillId="0" fontId="7" numFmtId="0" xfId="0" applyFont="1"/>
    <xf borderId="0" fillId="3" fontId="8" numFmtId="0" xfId="0" applyAlignment="1" applyFont="1">
      <alignment horizontal="center" vertical="center"/>
    </xf>
    <xf borderId="0" fillId="3" fontId="8" numFmtId="0" xfId="0" applyAlignment="1" applyFont="1">
      <alignment horizontal="center"/>
    </xf>
    <xf borderId="0" fillId="3" fontId="9" numFmtId="0" xfId="0" applyAlignment="1" applyFont="1">
      <alignment horizontal="center"/>
    </xf>
    <xf borderId="0" fillId="3" fontId="8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6" xfId="0" applyAlignment="1" applyFont="1" applyNumberForma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Font="1"/>
    <xf borderId="0" fillId="0" fontId="10" numFmtId="0" xfId="0" applyAlignment="1" applyFont="1">
      <alignment shrinkToFit="0" vertical="top" wrapText="1"/>
    </xf>
    <xf borderId="0" fillId="0" fontId="11" numFmtId="0" xfId="0" applyFont="1"/>
    <xf borderId="0" fillId="3" fontId="12" numFmtId="0" xfId="0" applyAlignment="1" applyFont="1">
      <alignment horizontal="center" readingOrder="0"/>
    </xf>
    <xf borderId="0" fillId="0" fontId="1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3.13"/>
    <col customWidth="1" min="3" max="3" width="12.25"/>
    <col customWidth="1" min="4" max="9" width="18.88"/>
  </cols>
  <sheetData>
    <row r="2">
      <c r="B2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>
      <c r="B5" s="3">
        <f>COUNTIF(Tracker!J:J, "Pending") + COUNTIF(Tracker!J:J, "In Progress")</f>
        <v>2</v>
      </c>
      <c r="C5" s="3">
        <f>COUNTIFS(Tracker!E:E, "R&amp;D", Tracker!J:J, "Pending") + COUNTIFS(Tracker!E:E, "R&amp;D", Tracker!J:J, "In Progress")</f>
        <v>0</v>
      </c>
      <c r="D5" s="3">
        <f>COUNTIFS(Tracker!E:E, "Packaging", Tracker!J:J, "Pending") + COUNTIFS(Tracker!E:E, "Packaging", Tracker!J:J, "In Progress")</f>
        <v>0</v>
      </c>
      <c r="E5" s="3">
        <f>COUNTIFS(Tracker!E:E, "Foil", Tracker!J:J, "Pending") + COUNTIFS(Tracker!E:E, "Foil", Tracker!J:J, "In Progress")</f>
        <v>0</v>
      </c>
      <c r="F5" s="3">
        <f>COUNTIFS(Tracker!E:E, "QC", Tracker!J:J, "Pending") + COUNTIFS(Tracker!E:E, "QC", Tracker!J:J, "In Progress")</f>
        <v>0</v>
      </c>
    </row>
    <row r="8">
      <c r="B8" s="4" t="s">
        <v>6</v>
      </c>
    </row>
    <row r="9"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  <c r="I9" s="5"/>
    </row>
    <row r="10">
      <c r="B10" s="6">
        <f>IFERROR(__xludf.DUMMYFUNCTION("IFERROR(QUERY(Tracker!B2:K1000, ""SELECT B, C, E, F, G, H, J WHERE J = 'Pending' OR J = 'In Progress'"", 0), ""No pending requests"")"),46107.0)</f>
        <v>46107</v>
      </c>
      <c r="C10" s="7" t="str">
        <f>IFERROR(__xludf.DUMMYFUNCTION("""COMPUTED_VALUE"""),"Oat Bar 1")</f>
        <v>Oat Bar 1</v>
      </c>
      <c r="D10" s="7" t="str">
        <f>IFERROR(__xludf.DUMMYFUNCTION("""COMPUTED_VALUE"""),"Packaging Design")</f>
        <v>Packaging Design</v>
      </c>
      <c r="E10" s="7" t="str">
        <f>IFERROR(__xludf.DUMMYFUNCTION("""COMPUTED_VALUE"""),"Question 2 from client ")</f>
        <v>Question 2 from client </v>
      </c>
      <c r="F10" s="8">
        <f>IFERROR(__xludf.DUMMYFUNCTION("""COMPUTED_VALUE"""),46120.0)</f>
        <v>46120</v>
      </c>
      <c r="G10" s="7"/>
      <c r="H10" s="7" t="str">
        <f>IFERROR(__xludf.DUMMYFUNCTION("""COMPUTED_VALUE"""),"In Progress")</f>
        <v>In Progress</v>
      </c>
    </row>
    <row r="11">
      <c r="B11" s="6">
        <f>IFERROR(__xludf.DUMMYFUNCTION("""COMPUTED_VALUE"""),46138.0)</f>
        <v>46138</v>
      </c>
      <c r="C11" s="7" t="str">
        <f>IFERROR(__xludf.DUMMYFUNCTION("""COMPUTED_VALUE"""),"Oat Bar 1")</f>
        <v>Oat Bar 1</v>
      </c>
      <c r="D11" s="7" t="str">
        <f>IFERROR(__xludf.DUMMYFUNCTION("""COMPUTED_VALUE"""),"Procurement")</f>
        <v>Procurement</v>
      </c>
      <c r="E11" s="7" t="str">
        <f>IFERROR(__xludf.DUMMYFUNCTION("""COMPUTED_VALUE"""),"Question 3 from client")</f>
        <v>Question 3 from client</v>
      </c>
      <c r="F11" s="8">
        <f>IFERROR(__xludf.DUMMYFUNCTION("""COMPUTED_VALUE"""),46142.0)</f>
        <v>46142</v>
      </c>
      <c r="G11" s="7"/>
      <c r="H11" s="7" t="str">
        <f>IFERROR(__xludf.DUMMYFUNCTION("""COMPUTED_VALUE"""),"In Progress")</f>
        <v>In Progress</v>
      </c>
    </row>
    <row r="12">
      <c r="B12" s="6"/>
      <c r="F12" s="8"/>
    </row>
    <row r="13">
      <c r="B13" s="6"/>
      <c r="F13" s="8"/>
    </row>
    <row r="14">
      <c r="B14" s="6"/>
      <c r="F14" s="8"/>
    </row>
    <row r="15">
      <c r="B15" s="6"/>
      <c r="F15" s="8"/>
    </row>
    <row r="16">
      <c r="B16" s="6"/>
      <c r="F16" s="8"/>
    </row>
    <row r="17">
      <c r="B17" s="6"/>
      <c r="F17" s="8"/>
    </row>
    <row r="18">
      <c r="B18" s="6"/>
      <c r="F18" s="8"/>
    </row>
    <row r="19">
      <c r="B19" s="6"/>
      <c r="F19" s="8"/>
    </row>
    <row r="20">
      <c r="B20" s="6"/>
      <c r="F20" s="8"/>
    </row>
    <row r="21">
      <c r="B21" s="6"/>
      <c r="F21" s="8"/>
    </row>
    <row r="22">
      <c r="B22" s="6"/>
      <c r="F22" s="8"/>
    </row>
    <row r="23">
      <c r="B23" s="6"/>
      <c r="F23" s="8"/>
    </row>
    <row r="24">
      <c r="B24" s="6"/>
      <c r="F24" s="8"/>
    </row>
    <row r="25">
      <c r="B25" s="6"/>
      <c r="F25" s="8"/>
    </row>
    <row r="26">
      <c r="B26" s="6"/>
      <c r="F26" s="8"/>
    </row>
    <row r="27">
      <c r="B27" s="6"/>
      <c r="F27" s="8"/>
    </row>
    <row r="28">
      <c r="B28" s="6"/>
      <c r="F28" s="8"/>
    </row>
    <row r="29">
      <c r="B29" s="6"/>
      <c r="F29" s="8"/>
    </row>
    <row r="30">
      <c r="B30" s="6"/>
      <c r="F30" s="8"/>
    </row>
    <row r="31">
      <c r="B31" s="6"/>
      <c r="F31" s="8"/>
    </row>
    <row r="32">
      <c r="B32" s="6"/>
      <c r="F32" s="8"/>
    </row>
    <row r="33">
      <c r="B33" s="6"/>
      <c r="F33" s="8"/>
    </row>
    <row r="34">
      <c r="B34" s="6"/>
      <c r="F34" s="8"/>
    </row>
    <row r="35">
      <c r="B35" s="6"/>
      <c r="F35" s="8"/>
    </row>
    <row r="36">
      <c r="B36" s="6"/>
      <c r="F36" s="8"/>
    </row>
    <row r="37">
      <c r="B37" s="6"/>
      <c r="F37" s="8"/>
    </row>
    <row r="38">
      <c r="B38" s="6"/>
      <c r="F38" s="8"/>
    </row>
    <row r="39">
      <c r="B39" s="6"/>
      <c r="F39" s="8"/>
    </row>
    <row r="40">
      <c r="B40" s="6"/>
      <c r="F40" s="8"/>
    </row>
    <row r="41">
      <c r="B41" s="6"/>
      <c r="F41" s="8"/>
    </row>
    <row r="42">
      <c r="B42" s="6"/>
      <c r="F42" s="8"/>
    </row>
    <row r="43">
      <c r="B43" s="6"/>
      <c r="F43" s="8"/>
    </row>
    <row r="44">
      <c r="B44" s="8"/>
      <c r="F44" s="8"/>
    </row>
    <row r="45">
      <c r="B45" s="8"/>
      <c r="F45" s="8"/>
    </row>
    <row r="46">
      <c r="B46" s="8"/>
      <c r="F46" s="8"/>
    </row>
    <row r="47">
      <c r="B47" s="8"/>
      <c r="F47" s="8"/>
    </row>
    <row r="48">
      <c r="B48" s="8"/>
      <c r="F48" s="8"/>
    </row>
    <row r="49">
      <c r="B49" s="8"/>
      <c r="F49" s="8"/>
    </row>
    <row r="50">
      <c r="B50" s="8"/>
      <c r="F50" s="8"/>
    </row>
    <row r="51">
      <c r="B51" s="8"/>
      <c r="F51" s="8"/>
    </row>
    <row r="52">
      <c r="B52" s="8"/>
      <c r="F52" s="8"/>
    </row>
    <row r="53">
      <c r="B53" s="8"/>
      <c r="F53" s="8"/>
    </row>
    <row r="54">
      <c r="B54" s="8"/>
      <c r="F54" s="8"/>
    </row>
    <row r="55">
      <c r="B55" s="8"/>
      <c r="F55" s="8"/>
    </row>
    <row r="56">
      <c r="B56" s="8"/>
      <c r="F56" s="8"/>
    </row>
    <row r="57">
      <c r="B57" s="8"/>
      <c r="F57" s="8"/>
    </row>
    <row r="58">
      <c r="B58" s="8"/>
      <c r="F58" s="8"/>
    </row>
    <row r="59">
      <c r="B59" s="8"/>
      <c r="F59" s="8"/>
    </row>
    <row r="60">
      <c r="B60" s="8"/>
      <c r="F60" s="8"/>
    </row>
    <row r="61">
      <c r="B61" s="8"/>
      <c r="F61" s="8"/>
    </row>
    <row r="62">
      <c r="B62" s="8"/>
      <c r="F62" s="8"/>
    </row>
    <row r="63">
      <c r="B63" s="8"/>
      <c r="F63" s="8"/>
    </row>
    <row r="64">
      <c r="B64" s="8"/>
      <c r="F64" s="8"/>
    </row>
    <row r="65">
      <c r="B65" s="8"/>
      <c r="F65" s="8"/>
    </row>
    <row r="66">
      <c r="B66" s="8"/>
      <c r="F66" s="8"/>
    </row>
    <row r="67">
      <c r="B67" s="8"/>
      <c r="F67" s="8"/>
    </row>
    <row r="68">
      <c r="B68" s="8"/>
      <c r="F68" s="8"/>
    </row>
    <row r="69">
      <c r="B69" s="8"/>
      <c r="F69" s="8"/>
    </row>
    <row r="70">
      <c r="B70" s="8"/>
      <c r="F70" s="8"/>
    </row>
    <row r="71">
      <c r="B71" s="8"/>
      <c r="F71" s="8"/>
    </row>
    <row r="72">
      <c r="B72" s="8"/>
      <c r="F72" s="8"/>
    </row>
    <row r="73">
      <c r="B73" s="8"/>
      <c r="F73" s="8"/>
    </row>
    <row r="74">
      <c r="B74" s="8"/>
      <c r="F74" s="8"/>
    </row>
    <row r="75">
      <c r="B75" s="8"/>
      <c r="F75" s="8"/>
    </row>
    <row r="76">
      <c r="B76" s="8"/>
      <c r="F76" s="8"/>
    </row>
    <row r="77">
      <c r="B77" s="8"/>
      <c r="F77" s="8"/>
    </row>
    <row r="78">
      <c r="B78" s="8"/>
      <c r="F78" s="8"/>
    </row>
    <row r="79">
      <c r="B79" s="8"/>
      <c r="F79" s="8"/>
    </row>
    <row r="80">
      <c r="B80" s="8"/>
      <c r="F80" s="8"/>
    </row>
    <row r="81">
      <c r="B81" s="8"/>
      <c r="F81" s="8"/>
    </row>
    <row r="82">
      <c r="B82" s="8"/>
      <c r="F82" s="8"/>
    </row>
    <row r="83">
      <c r="B83" s="8"/>
      <c r="F83" s="8"/>
    </row>
    <row r="84">
      <c r="B84" s="8"/>
      <c r="F84" s="8"/>
    </row>
    <row r="85">
      <c r="B85" s="8"/>
      <c r="F85" s="8"/>
    </row>
    <row r="86">
      <c r="B86" s="8"/>
      <c r="F86" s="8"/>
    </row>
    <row r="87">
      <c r="B87" s="8"/>
      <c r="F87" s="8"/>
    </row>
    <row r="88">
      <c r="B88" s="8"/>
      <c r="F88" s="8"/>
    </row>
    <row r="89">
      <c r="B89" s="8"/>
      <c r="F89" s="8"/>
    </row>
    <row r="90">
      <c r="B90" s="8"/>
      <c r="F90" s="8"/>
    </row>
    <row r="91">
      <c r="B91" s="8"/>
      <c r="F91" s="8"/>
    </row>
    <row r="92">
      <c r="B92" s="8"/>
      <c r="F92" s="8"/>
    </row>
    <row r="93">
      <c r="B93" s="8"/>
      <c r="F93" s="8"/>
    </row>
    <row r="94">
      <c r="B94" s="8"/>
      <c r="F94" s="8"/>
    </row>
    <row r="95">
      <c r="B95" s="8"/>
      <c r="F95" s="8"/>
    </row>
    <row r="96">
      <c r="B96" s="8"/>
      <c r="F96" s="8"/>
    </row>
    <row r="97">
      <c r="B97" s="8"/>
      <c r="F97" s="8"/>
    </row>
    <row r="98">
      <c r="B98" s="8"/>
      <c r="F98" s="8"/>
    </row>
    <row r="99">
      <c r="B99" s="8"/>
      <c r="F99" s="8"/>
    </row>
    <row r="100">
      <c r="B100" s="8"/>
      <c r="F1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8.38"/>
    <col customWidth="1" min="3" max="3" width="13.63"/>
    <col customWidth="1" min="4" max="4" width="22.38"/>
    <col customWidth="1" min="5" max="5" width="15.63"/>
    <col customWidth="1" min="6" max="6" width="31.38"/>
    <col customWidth="1" min="7" max="7" width="9.38"/>
    <col customWidth="1" min="8" max="8" width="19.75"/>
    <col customWidth="1" min="9" max="9" width="54.38"/>
    <col customWidth="1" min="10" max="10" width="15.13"/>
    <col customWidth="1" min="11" max="11" width="18.88"/>
  </cols>
  <sheetData>
    <row r="1" ht="6.75" customHeight="1">
      <c r="A1" s="9"/>
      <c r="E1" s="10"/>
    </row>
    <row r="2">
      <c r="A2" s="11"/>
      <c r="B2" s="12" t="s">
        <v>7</v>
      </c>
      <c r="C2" s="12" t="s">
        <v>8</v>
      </c>
      <c r="D2" s="12" t="s">
        <v>14</v>
      </c>
      <c r="E2" s="13" t="s">
        <v>9</v>
      </c>
      <c r="F2" s="12" t="s">
        <v>10</v>
      </c>
      <c r="G2" s="12" t="s">
        <v>11</v>
      </c>
      <c r="H2" s="12" t="s">
        <v>15</v>
      </c>
      <c r="I2" s="12" t="s">
        <v>16</v>
      </c>
      <c r="J2" s="12" t="s">
        <v>13</v>
      </c>
      <c r="K2" s="14" t="s">
        <v>17</v>
      </c>
    </row>
    <row r="3" ht="30.0" customHeight="1">
      <c r="A3" s="15">
        <v>1.0</v>
      </c>
      <c r="B3" s="16">
        <v>46106.0</v>
      </c>
      <c r="C3" s="17" t="s">
        <v>18</v>
      </c>
      <c r="D3" s="17" t="s">
        <v>19</v>
      </c>
      <c r="E3" s="18" t="s">
        <v>20</v>
      </c>
      <c r="F3" s="17" t="s">
        <v>21</v>
      </c>
      <c r="G3" s="16">
        <v>46112.0</v>
      </c>
      <c r="H3" s="17"/>
      <c r="I3" s="17" t="s">
        <v>22</v>
      </c>
      <c r="J3" s="17" t="s">
        <v>23</v>
      </c>
      <c r="K3" s="19"/>
      <c r="L3" s="19"/>
      <c r="M3" s="19"/>
    </row>
    <row r="4" ht="30.0" customHeight="1">
      <c r="A4" s="15">
        <v>2.0</v>
      </c>
      <c r="B4" s="16">
        <v>46107.0</v>
      </c>
      <c r="C4" s="17" t="s">
        <v>24</v>
      </c>
      <c r="D4" s="17" t="s">
        <v>25</v>
      </c>
      <c r="E4" s="18" t="s">
        <v>26</v>
      </c>
      <c r="F4" s="17" t="s">
        <v>27</v>
      </c>
      <c r="G4" s="16">
        <v>46120.0</v>
      </c>
      <c r="H4" s="19"/>
      <c r="I4" s="17" t="s">
        <v>28</v>
      </c>
      <c r="J4" s="17" t="s">
        <v>29</v>
      </c>
      <c r="K4" s="19"/>
      <c r="L4" s="19"/>
      <c r="M4" s="19"/>
    </row>
    <row r="5" ht="30.0" customHeight="1">
      <c r="A5" s="15">
        <v>3.0</v>
      </c>
      <c r="B5" s="16">
        <v>46138.0</v>
      </c>
      <c r="C5" s="17" t="s">
        <v>24</v>
      </c>
      <c r="D5" s="17" t="s">
        <v>25</v>
      </c>
      <c r="E5" s="18" t="s">
        <v>30</v>
      </c>
      <c r="F5" s="17" t="s">
        <v>31</v>
      </c>
      <c r="G5" s="16">
        <v>46142.0</v>
      </c>
      <c r="H5" s="19"/>
      <c r="I5" s="19"/>
      <c r="J5" s="17" t="s">
        <v>29</v>
      </c>
      <c r="K5" s="19"/>
      <c r="L5" s="19"/>
      <c r="M5" s="19"/>
    </row>
    <row r="6" ht="30.0" customHeight="1">
      <c r="A6" s="15">
        <v>4.0</v>
      </c>
      <c r="B6" s="16"/>
      <c r="C6" s="19"/>
      <c r="D6" s="19"/>
      <c r="E6" s="20"/>
      <c r="F6" s="19"/>
      <c r="G6" s="16"/>
      <c r="H6" s="19"/>
      <c r="I6" s="19"/>
      <c r="J6" s="19"/>
      <c r="K6" s="19"/>
      <c r="L6" s="19"/>
      <c r="M6" s="19"/>
    </row>
    <row r="7" ht="30.0" customHeight="1">
      <c r="A7" s="15">
        <v>5.0</v>
      </c>
      <c r="B7" s="16"/>
      <c r="C7" s="19"/>
      <c r="D7" s="19"/>
      <c r="E7" s="20"/>
      <c r="F7" s="19"/>
      <c r="G7" s="16"/>
      <c r="H7" s="19"/>
      <c r="I7" s="19"/>
      <c r="J7" s="19"/>
      <c r="K7" s="19"/>
      <c r="L7" s="19"/>
      <c r="M7" s="19"/>
    </row>
    <row r="8" ht="30.0" customHeight="1">
      <c r="A8" s="15">
        <v>6.0</v>
      </c>
      <c r="B8" s="16"/>
      <c r="C8" s="19"/>
      <c r="D8" s="19"/>
      <c r="E8" s="20"/>
      <c r="F8" s="19"/>
      <c r="G8" s="16"/>
      <c r="H8" s="19"/>
      <c r="I8" s="19"/>
      <c r="J8" s="19"/>
      <c r="K8" s="19"/>
      <c r="L8" s="19"/>
      <c r="M8" s="19"/>
    </row>
    <row r="9" ht="30.0" customHeight="1">
      <c r="A9" s="15">
        <v>7.0</v>
      </c>
      <c r="B9" s="16"/>
      <c r="C9" s="19"/>
      <c r="D9" s="19"/>
      <c r="E9" s="20"/>
      <c r="F9" s="19"/>
      <c r="G9" s="16"/>
      <c r="H9" s="19"/>
      <c r="I9" s="19"/>
      <c r="J9" s="19"/>
      <c r="K9" s="19"/>
      <c r="L9" s="19"/>
      <c r="M9" s="19"/>
    </row>
    <row r="10" ht="30.0" customHeight="1">
      <c r="A10" s="15">
        <v>8.0</v>
      </c>
      <c r="B10" s="16"/>
      <c r="C10" s="19"/>
      <c r="D10" s="19"/>
      <c r="E10" s="20"/>
      <c r="F10" s="19"/>
      <c r="G10" s="16"/>
      <c r="H10" s="19"/>
      <c r="I10" s="19"/>
      <c r="J10" s="19"/>
      <c r="K10" s="19"/>
      <c r="L10" s="19"/>
      <c r="M10" s="19"/>
    </row>
    <row r="11" ht="30.0" customHeight="1">
      <c r="A11" s="15">
        <v>9.0</v>
      </c>
      <c r="B11" s="16"/>
      <c r="C11" s="19"/>
      <c r="D11" s="19"/>
      <c r="E11" s="20"/>
      <c r="F11" s="19"/>
      <c r="G11" s="16"/>
      <c r="H11" s="19"/>
      <c r="I11" s="19"/>
      <c r="J11" s="19"/>
      <c r="K11" s="19"/>
      <c r="L11" s="19"/>
      <c r="M11" s="19"/>
    </row>
    <row r="12" ht="30.0" customHeight="1">
      <c r="A12" s="15">
        <v>10.0</v>
      </c>
      <c r="B12" s="16"/>
      <c r="C12" s="19"/>
      <c r="D12" s="19"/>
      <c r="E12" s="20"/>
      <c r="F12" s="19"/>
      <c r="G12" s="16"/>
      <c r="H12" s="19"/>
      <c r="I12" s="19"/>
      <c r="J12" s="19"/>
      <c r="K12" s="19"/>
      <c r="L12" s="19"/>
      <c r="M12" s="19"/>
    </row>
    <row r="13" ht="30.0" customHeight="1">
      <c r="A13" s="15">
        <v>11.0</v>
      </c>
      <c r="B13" s="16"/>
      <c r="C13" s="19"/>
      <c r="D13" s="19"/>
      <c r="E13" s="20"/>
      <c r="F13" s="19"/>
      <c r="G13" s="16"/>
      <c r="H13" s="19"/>
      <c r="I13" s="19"/>
      <c r="J13" s="19"/>
      <c r="K13" s="19"/>
      <c r="L13" s="19"/>
      <c r="M13" s="19"/>
    </row>
    <row r="14" ht="30.0" customHeight="1">
      <c r="A14" s="15">
        <v>12.0</v>
      </c>
      <c r="B14" s="16"/>
      <c r="C14" s="19"/>
      <c r="D14" s="19"/>
      <c r="E14" s="20"/>
      <c r="F14" s="19"/>
      <c r="G14" s="16"/>
      <c r="H14" s="19"/>
      <c r="I14" s="19"/>
      <c r="J14" s="19"/>
      <c r="K14" s="19"/>
      <c r="L14" s="19"/>
      <c r="M14" s="19"/>
    </row>
    <row r="15" ht="30.0" customHeight="1">
      <c r="A15" s="15">
        <v>13.0</v>
      </c>
      <c r="B15" s="16"/>
      <c r="C15" s="19"/>
      <c r="D15" s="19"/>
      <c r="E15" s="20"/>
      <c r="F15" s="19"/>
      <c r="G15" s="16"/>
      <c r="H15" s="19"/>
      <c r="I15" s="19"/>
      <c r="J15" s="19"/>
      <c r="K15" s="19"/>
      <c r="L15" s="19"/>
      <c r="M15" s="19"/>
    </row>
    <row r="16" ht="30.0" customHeight="1">
      <c r="A16" s="15">
        <v>14.0</v>
      </c>
      <c r="B16" s="16"/>
      <c r="C16" s="19"/>
      <c r="D16" s="19"/>
      <c r="E16" s="20"/>
      <c r="F16" s="19"/>
      <c r="G16" s="16"/>
      <c r="H16" s="19"/>
      <c r="I16" s="19"/>
      <c r="J16" s="19"/>
      <c r="K16" s="19"/>
      <c r="L16" s="19"/>
      <c r="M16" s="19"/>
    </row>
    <row r="17" ht="30.0" customHeight="1">
      <c r="A17" s="15">
        <v>15.0</v>
      </c>
      <c r="B17" s="16"/>
      <c r="C17" s="19"/>
      <c r="D17" s="19"/>
      <c r="E17" s="20"/>
      <c r="F17" s="19"/>
      <c r="G17" s="16"/>
      <c r="H17" s="19"/>
      <c r="I17" s="19"/>
      <c r="J17" s="19"/>
      <c r="K17" s="19"/>
      <c r="L17" s="19"/>
      <c r="M17" s="19"/>
    </row>
    <row r="18" ht="30.0" customHeight="1">
      <c r="A18" s="15">
        <v>16.0</v>
      </c>
      <c r="B18" s="16"/>
      <c r="C18" s="19"/>
      <c r="D18" s="19"/>
      <c r="E18" s="20"/>
      <c r="F18" s="19"/>
      <c r="G18" s="16"/>
      <c r="H18" s="19"/>
      <c r="I18" s="19"/>
      <c r="J18" s="19"/>
      <c r="K18" s="19"/>
      <c r="L18" s="19"/>
      <c r="M18" s="19"/>
    </row>
    <row r="19" ht="30.0" customHeight="1">
      <c r="A19" s="15">
        <v>17.0</v>
      </c>
      <c r="B19" s="16"/>
      <c r="C19" s="19"/>
      <c r="D19" s="19"/>
      <c r="E19" s="20"/>
      <c r="F19" s="19"/>
      <c r="G19" s="16"/>
      <c r="H19" s="19"/>
      <c r="I19" s="19"/>
      <c r="J19" s="19"/>
      <c r="K19" s="19"/>
      <c r="L19" s="19"/>
      <c r="M19" s="19"/>
    </row>
    <row r="20" ht="30.0" customHeight="1">
      <c r="A20" s="15">
        <v>18.0</v>
      </c>
      <c r="B20" s="16"/>
      <c r="C20" s="19"/>
      <c r="D20" s="19"/>
      <c r="E20" s="20"/>
      <c r="F20" s="19"/>
      <c r="G20" s="16"/>
      <c r="H20" s="19"/>
      <c r="I20" s="19"/>
      <c r="J20" s="19"/>
      <c r="K20" s="19"/>
      <c r="L20" s="19"/>
      <c r="M20" s="19"/>
    </row>
    <row r="21" ht="30.0" customHeight="1">
      <c r="A21" s="15">
        <v>19.0</v>
      </c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9"/>
    </row>
    <row r="22" ht="30.0" customHeight="1">
      <c r="A22" s="15">
        <v>20.0</v>
      </c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19"/>
    </row>
    <row r="23" ht="30.0" customHeight="1">
      <c r="A23" s="21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19"/>
    </row>
    <row r="24" ht="30.0" customHeight="1">
      <c r="A24" s="21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19"/>
    </row>
    <row r="25" ht="30.0" customHeight="1">
      <c r="A25" s="21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19"/>
    </row>
    <row r="26" ht="30.0" customHeight="1">
      <c r="A26" s="21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19"/>
    </row>
    <row r="27" ht="30.0" customHeight="1">
      <c r="A27" s="21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19"/>
    </row>
    <row r="28" ht="30.0" customHeight="1">
      <c r="A28" s="21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19"/>
    </row>
    <row r="29" ht="30.0" customHeight="1">
      <c r="A29" s="21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19"/>
    </row>
    <row r="30" ht="30.0" customHeight="1">
      <c r="A30" s="21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9"/>
    </row>
    <row r="31">
      <c r="A31" s="9"/>
      <c r="D31" s="7"/>
      <c r="E31" s="10"/>
      <c r="G31" s="7"/>
      <c r="J31" s="19"/>
      <c r="K31" s="7"/>
    </row>
    <row r="32">
      <c r="A32" s="9"/>
      <c r="D32" s="7"/>
      <c r="E32" s="10"/>
      <c r="G32" s="7"/>
      <c r="J32" s="19"/>
      <c r="K32" s="7"/>
    </row>
    <row r="33">
      <c r="A33" s="9"/>
      <c r="D33" s="7"/>
      <c r="E33" s="10"/>
      <c r="G33" s="7"/>
      <c r="J33" s="19"/>
      <c r="K33" s="7"/>
    </row>
    <row r="34">
      <c r="A34" s="9"/>
      <c r="D34" s="7"/>
      <c r="E34" s="10"/>
      <c r="G34" s="7"/>
      <c r="J34" s="19"/>
      <c r="K34" s="7"/>
    </row>
    <row r="35">
      <c r="A35" s="9"/>
      <c r="D35" s="7"/>
      <c r="E35" s="10"/>
      <c r="G35" s="7"/>
      <c r="J35" s="19"/>
      <c r="K35" s="7"/>
    </row>
    <row r="36">
      <c r="A36" s="9"/>
      <c r="D36" s="7"/>
      <c r="E36" s="10"/>
      <c r="G36" s="7"/>
      <c r="J36" s="19"/>
      <c r="K36" s="7"/>
    </row>
    <row r="37">
      <c r="A37" s="9"/>
      <c r="D37" s="7"/>
      <c r="E37" s="10"/>
      <c r="G37" s="7"/>
      <c r="J37" s="19"/>
      <c r="K37" s="7"/>
    </row>
    <row r="38">
      <c r="A38" s="9"/>
      <c r="D38" s="7"/>
      <c r="E38" s="10"/>
      <c r="G38" s="7"/>
      <c r="J38" s="19"/>
      <c r="K38" s="7"/>
    </row>
    <row r="39">
      <c r="A39" s="9"/>
      <c r="D39" s="7"/>
      <c r="E39" s="10"/>
      <c r="G39" s="7"/>
      <c r="J39" s="19"/>
      <c r="K39" s="7"/>
    </row>
    <row r="40">
      <c r="A40" s="9"/>
      <c r="D40" s="7"/>
      <c r="E40" s="10"/>
      <c r="G40" s="7"/>
      <c r="J40" s="19"/>
      <c r="K40" s="7"/>
    </row>
    <row r="41">
      <c r="A41" s="9"/>
      <c r="D41" s="7"/>
      <c r="E41" s="10"/>
      <c r="G41" s="7"/>
      <c r="J41" s="19"/>
      <c r="K41" s="7"/>
    </row>
    <row r="42">
      <c r="A42" s="9"/>
      <c r="D42" s="7"/>
      <c r="E42" s="10"/>
      <c r="G42" s="7"/>
      <c r="J42" s="19"/>
      <c r="K42" s="7"/>
    </row>
    <row r="43">
      <c r="A43" s="9"/>
      <c r="D43" s="7"/>
      <c r="E43" s="10"/>
      <c r="G43" s="7"/>
      <c r="J43" s="19"/>
      <c r="K43" s="7"/>
    </row>
    <row r="44">
      <c r="A44" s="9"/>
      <c r="D44" s="7"/>
      <c r="E44" s="10"/>
      <c r="G44" s="7"/>
      <c r="J44" s="19"/>
      <c r="K44" s="7"/>
    </row>
    <row r="45">
      <c r="A45" s="9"/>
      <c r="D45" s="7"/>
      <c r="E45" s="10"/>
      <c r="G45" s="7"/>
      <c r="J45" s="19"/>
      <c r="K45" s="7"/>
    </row>
    <row r="46">
      <c r="A46" s="9"/>
      <c r="D46" s="7"/>
      <c r="E46" s="10"/>
      <c r="G46" s="7"/>
      <c r="J46" s="19"/>
      <c r="K46" s="7"/>
    </row>
    <row r="47">
      <c r="A47" s="9"/>
      <c r="D47" s="7"/>
      <c r="E47" s="10"/>
      <c r="G47" s="7"/>
      <c r="J47" s="19"/>
      <c r="K47" s="7"/>
    </row>
    <row r="48">
      <c r="A48" s="9"/>
      <c r="D48" s="7"/>
      <c r="E48" s="10"/>
      <c r="G48" s="7"/>
      <c r="J48" s="19"/>
      <c r="K48" s="7"/>
    </row>
    <row r="49">
      <c r="A49" s="9"/>
      <c r="D49" s="7"/>
      <c r="E49" s="10"/>
      <c r="G49" s="7"/>
      <c r="J49" s="19"/>
      <c r="K49" s="7"/>
    </row>
    <row r="50">
      <c r="A50" s="9"/>
      <c r="D50" s="7"/>
      <c r="E50" s="10"/>
      <c r="G50" s="7"/>
      <c r="J50" s="19"/>
      <c r="K50" s="7"/>
    </row>
    <row r="51">
      <c r="A51" s="9"/>
      <c r="D51" s="7"/>
      <c r="E51" s="10"/>
      <c r="G51" s="7"/>
      <c r="J51" s="19"/>
      <c r="K51" s="7"/>
    </row>
    <row r="52">
      <c r="A52" s="9"/>
      <c r="D52" s="7"/>
      <c r="E52" s="10"/>
      <c r="G52" s="7"/>
      <c r="J52" s="19"/>
      <c r="K52" s="7"/>
    </row>
    <row r="53">
      <c r="A53" s="9"/>
      <c r="D53" s="7"/>
      <c r="E53" s="10"/>
      <c r="G53" s="7"/>
      <c r="J53" s="19"/>
      <c r="K53" s="7"/>
    </row>
    <row r="54">
      <c r="A54" s="9"/>
      <c r="D54" s="7"/>
      <c r="E54" s="10"/>
      <c r="G54" s="7"/>
      <c r="J54" s="19"/>
      <c r="K54" s="7"/>
    </row>
    <row r="55">
      <c r="A55" s="9"/>
      <c r="D55" s="7"/>
      <c r="E55" s="10"/>
      <c r="G55" s="7"/>
      <c r="J55" s="19"/>
      <c r="K55" s="7"/>
    </row>
    <row r="56">
      <c r="A56" s="9"/>
      <c r="D56" s="7"/>
      <c r="E56" s="10"/>
      <c r="G56" s="7"/>
      <c r="J56" s="19"/>
      <c r="K56" s="7"/>
    </row>
    <row r="57">
      <c r="A57" s="9"/>
      <c r="D57" s="7"/>
      <c r="E57" s="10"/>
      <c r="G57" s="7"/>
      <c r="J57" s="19"/>
      <c r="K57" s="7"/>
    </row>
    <row r="58">
      <c r="A58" s="9"/>
      <c r="D58" s="7"/>
      <c r="E58" s="10"/>
      <c r="G58" s="7"/>
      <c r="J58" s="19"/>
      <c r="K58" s="7"/>
    </row>
    <row r="59">
      <c r="A59" s="9"/>
      <c r="D59" s="7"/>
      <c r="E59" s="10"/>
      <c r="G59" s="7"/>
      <c r="J59" s="19"/>
      <c r="K59" s="7"/>
    </row>
    <row r="60">
      <c r="A60" s="9"/>
      <c r="D60" s="7"/>
      <c r="E60" s="10"/>
      <c r="G60" s="7"/>
      <c r="J60" s="19"/>
      <c r="K60" s="7"/>
    </row>
    <row r="61">
      <c r="A61" s="9"/>
      <c r="D61" s="7"/>
      <c r="E61" s="10"/>
      <c r="G61" s="7"/>
      <c r="J61" s="19"/>
      <c r="K61" s="7"/>
    </row>
    <row r="62">
      <c r="A62" s="9"/>
      <c r="D62" s="7"/>
      <c r="E62" s="10"/>
      <c r="G62" s="7"/>
      <c r="J62" s="19"/>
      <c r="K62" s="7"/>
    </row>
    <row r="63">
      <c r="A63" s="9"/>
      <c r="D63" s="7"/>
      <c r="E63" s="10"/>
      <c r="G63" s="7"/>
      <c r="J63" s="19"/>
      <c r="K63" s="7"/>
    </row>
    <row r="64">
      <c r="A64" s="9"/>
      <c r="D64" s="7"/>
      <c r="E64" s="10"/>
      <c r="G64" s="7"/>
      <c r="J64" s="19"/>
      <c r="K64" s="7"/>
    </row>
    <row r="65">
      <c r="A65" s="9"/>
      <c r="D65" s="7"/>
      <c r="E65" s="10"/>
      <c r="G65" s="7"/>
      <c r="J65" s="19"/>
      <c r="K65" s="7"/>
    </row>
    <row r="66">
      <c r="A66" s="9"/>
      <c r="D66" s="7"/>
      <c r="E66" s="10"/>
      <c r="G66" s="7"/>
      <c r="J66" s="19"/>
      <c r="K66" s="7"/>
    </row>
    <row r="67">
      <c r="A67" s="9"/>
      <c r="D67" s="7"/>
      <c r="E67" s="10"/>
      <c r="G67" s="7"/>
      <c r="J67" s="19"/>
      <c r="K67" s="7"/>
    </row>
    <row r="68">
      <c r="A68" s="9"/>
      <c r="D68" s="7"/>
      <c r="E68" s="10"/>
      <c r="G68" s="7"/>
      <c r="J68" s="19"/>
      <c r="K68" s="7"/>
    </row>
    <row r="69">
      <c r="A69" s="9"/>
      <c r="D69" s="7"/>
      <c r="E69" s="10"/>
      <c r="G69" s="7"/>
      <c r="J69" s="19"/>
      <c r="K69" s="7"/>
    </row>
    <row r="70">
      <c r="A70" s="9"/>
      <c r="D70" s="7"/>
      <c r="E70" s="10"/>
      <c r="G70" s="7"/>
      <c r="J70" s="19"/>
      <c r="K70" s="7"/>
    </row>
    <row r="71">
      <c r="A71" s="9"/>
      <c r="D71" s="7"/>
      <c r="E71" s="10"/>
      <c r="G71" s="7"/>
      <c r="J71" s="19"/>
      <c r="K71" s="7"/>
    </row>
    <row r="72">
      <c r="A72" s="9"/>
      <c r="D72" s="7"/>
      <c r="E72" s="10"/>
      <c r="G72" s="7"/>
      <c r="J72" s="19"/>
      <c r="K72" s="7"/>
    </row>
    <row r="73">
      <c r="A73" s="9"/>
      <c r="D73" s="7"/>
      <c r="E73" s="10"/>
      <c r="G73" s="7"/>
      <c r="J73" s="19"/>
      <c r="K73" s="7"/>
    </row>
    <row r="74">
      <c r="A74" s="9"/>
      <c r="D74" s="7"/>
      <c r="E74" s="10"/>
      <c r="G74" s="7"/>
      <c r="J74" s="19"/>
      <c r="K74" s="7"/>
    </row>
    <row r="75">
      <c r="A75" s="9"/>
      <c r="D75" s="7"/>
      <c r="E75" s="10"/>
      <c r="G75" s="7"/>
      <c r="J75" s="19"/>
      <c r="K75" s="7"/>
    </row>
    <row r="76">
      <c r="A76" s="9"/>
      <c r="D76" s="7"/>
      <c r="E76" s="10"/>
      <c r="G76" s="7"/>
      <c r="J76" s="19"/>
      <c r="K76" s="7"/>
    </row>
    <row r="77">
      <c r="A77" s="9"/>
      <c r="D77" s="7"/>
      <c r="E77" s="10"/>
      <c r="G77" s="7"/>
      <c r="J77" s="19"/>
      <c r="K77" s="7"/>
    </row>
    <row r="78">
      <c r="A78" s="9"/>
      <c r="D78" s="7"/>
      <c r="E78" s="10"/>
      <c r="G78" s="7"/>
      <c r="J78" s="19"/>
      <c r="K78" s="7"/>
    </row>
    <row r="79">
      <c r="A79" s="9"/>
      <c r="D79" s="7"/>
      <c r="E79" s="10"/>
      <c r="G79" s="7"/>
      <c r="J79" s="19"/>
      <c r="K79" s="7"/>
    </row>
    <row r="80">
      <c r="A80" s="9"/>
      <c r="D80" s="7"/>
      <c r="E80" s="10"/>
      <c r="G80" s="7"/>
      <c r="J80" s="19"/>
      <c r="K80" s="7"/>
    </row>
    <row r="81">
      <c r="A81" s="9"/>
      <c r="D81" s="7"/>
      <c r="E81" s="10"/>
      <c r="G81" s="7"/>
      <c r="J81" s="19"/>
      <c r="K81" s="7"/>
    </row>
    <row r="82">
      <c r="A82" s="9"/>
      <c r="D82" s="7"/>
      <c r="E82" s="10"/>
      <c r="G82" s="7"/>
      <c r="J82" s="19"/>
      <c r="K82" s="7"/>
    </row>
    <row r="83">
      <c r="A83" s="9"/>
      <c r="D83" s="7"/>
      <c r="E83" s="10"/>
      <c r="G83" s="7"/>
      <c r="J83" s="19"/>
      <c r="K83" s="7"/>
    </row>
    <row r="84">
      <c r="A84" s="9"/>
      <c r="D84" s="7"/>
      <c r="E84" s="10"/>
      <c r="G84" s="7"/>
      <c r="J84" s="19"/>
      <c r="K84" s="7"/>
    </row>
    <row r="85">
      <c r="A85" s="9"/>
      <c r="D85" s="7"/>
      <c r="E85" s="10"/>
      <c r="G85" s="7"/>
      <c r="J85" s="19"/>
      <c r="K85" s="7"/>
    </row>
    <row r="86">
      <c r="A86" s="9"/>
      <c r="D86" s="7"/>
      <c r="E86" s="10"/>
      <c r="G86" s="7"/>
      <c r="J86" s="19"/>
      <c r="K86" s="7"/>
    </row>
    <row r="87">
      <c r="A87" s="9"/>
      <c r="D87" s="7"/>
      <c r="E87" s="10"/>
      <c r="G87" s="7"/>
      <c r="J87" s="19"/>
      <c r="K87" s="7"/>
    </row>
    <row r="88">
      <c r="A88" s="9"/>
      <c r="D88" s="7"/>
      <c r="E88" s="10"/>
      <c r="G88" s="7"/>
      <c r="J88" s="19"/>
      <c r="K88" s="7"/>
    </row>
    <row r="89">
      <c r="A89" s="9"/>
      <c r="D89" s="7"/>
      <c r="E89" s="10"/>
      <c r="G89" s="7"/>
      <c r="J89" s="19"/>
      <c r="K89" s="7"/>
    </row>
    <row r="90">
      <c r="A90" s="9"/>
      <c r="D90" s="7"/>
      <c r="E90" s="10"/>
      <c r="G90" s="7"/>
      <c r="J90" s="19"/>
      <c r="K90" s="7"/>
    </row>
    <row r="91">
      <c r="A91" s="9"/>
      <c r="D91" s="7"/>
      <c r="E91" s="10"/>
      <c r="G91" s="7"/>
      <c r="J91" s="19"/>
      <c r="K91" s="7"/>
    </row>
    <row r="92">
      <c r="A92" s="9"/>
      <c r="D92" s="7"/>
      <c r="E92" s="10"/>
      <c r="G92" s="7"/>
      <c r="J92" s="19"/>
      <c r="K92" s="7"/>
    </row>
    <row r="93">
      <c r="A93" s="9"/>
      <c r="D93" s="7"/>
      <c r="E93" s="10"/>
      <c r="G93" s="7"/>
      <c r="J93" s="19"/>
      <c r="K93" s="7"/>
    </row>
    <row r="94">
      <c r="A94" s="9"/>
      <c r="D94" s="7"/>
      <c r="E94" s="10"/>
      <c r="G94" s="7"/>
      <c r="J94" s="19"/>
      <c r="K94" s="7"/>
    </row>
    <row r="95">
      <c r="A95" s="9"/>
      <c r="D95" s="7"/>
      <c r="E95" s="10"/>
      <c r="G95" s="7"/>
      <c r="J95" s="19"/>
      <c r="K95" s="7"/>
    </row>
    <row r="96">
      <c r="A96" s="9"/>
      <c r="D96" s="7"/>
      <c r="E96" s="10"/>
      <c r="G96" s="7"/>
      <c r="J96" s="19"/>
      <c r="K96" s="7"/>
    </row>
    <row r="97">
      <c r="A97" s="9"/>
      <c r="D97" s="7"/>
      <c r="E97" s="10"/>
      <c r="G97" s="7"/>
      <c r="J97" s="19"/>
      <c r="K97" s="7"/>
    </row>
    <row r="98">
      <c r="A98" s="9"/>
      <c r="D98" s="7"/>
      <c r="E98" s="10"/>
      <c r="G98" s="7"/>
      <c r="J98" s="19"/>
      <c r="K98" s="7"/>
    </row>
    <row r="99">
      <c r="A99" s="9"/>
      <c r="D99" s="7"/>
      <c r="E99" s="10"/>
      <c r="G99" s="7"/>
      <c r="J99" s="19"/>
      <c r="K99" s="7"/>
    </row>
    <row r="100">
      <c r="A100" s="9"/>
      <c r="D100" s="7"/>
      <c r="E100" s="10"/>
      <c r="G100" s="7"/>
      <c r="J100" s="19"/>
      <c r="K100" s="7"/>
    </row>
  </sheetData>
  <dataValidations>
    <dataValidation type="custom" allowBlank="1" showDropDown="1" sqref="B3:B20 G3:G100">
      <formula1>OR(NOT(ISERROR(DATEVALUE(B3))), AND(ISNUMBER(B3), LEFT(CELL("format", B3))="D"))</formula1>
    </dataValidation>
    <dataValidation type="list" allowBlank="1" sqref="J3:J100">
      <formula1>"In Progress,Answered,Blocked"</formula1>
    </dataValidation>
    <dataValidation type="list" allowBlank="1" sqref="K3:K100">
      <formula1>"Approved,Rejected,Revise"</formula1>
    </dataValidation>
    <dataValidation type="list" allowBlank="1" sqref="E3:E100">
      <formula1>"R&amp;D,Packaging Design,Procurement,Qality Control "</formula1>
    </dataValidation>
    <dataValidation type="list" allowBlank="1" sqref="D3:D100">
      <formula1>"Phase 1: Idea,Phase 2: Evaluation of the idea,Phase 3: Plan for realization,Phase 4: Feedback from the client,Phase 5: Design / Logistic / procurement,Phase 6: Industrial trial,Phase 7: Approval of the design,Phase 8: Planning of the production,Phase 9: V"&amp;"erification of the production"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00.13"/>
  </cols>
  <sheetData>
    <row r="2">
      <c r="B2" s="22" t="s">
        <v>32</v>
      </c>
    </row>
    <row r="3">
      <c r="B3" s="23" t="str">
        <f>IFERROR(__xludf.DUMMYFUNCTION("""Dear Client,"" &amp; CHAR(10) &amp; CHAR(10) &amp; ""Here is the status of your current requests:"" &amp; CHAR(10) &amp; CHAR(10) &amp; IFERROR(TEXTJOIN(CHAR(10) &amp; CHAR(10), TRUE, FILTER(""Product: "" &amp; Tracker!C2:C1000 &amp; CHAR(10) &amp; ""Request: "" &amp; Tracker!F2:F1000 &amp; CHAR(10) "&amp;"&amp; ""Response: "" &amp; Tracker!I2:I1000, Tracker!J2:J1000=""In Progress"")), ""No in-progress requests."") &amp; CHAR(10) &amp; CHAR(10) &amp; ""Best regards,"""),"Dear Client,
Here is the status of your current requests:
Product: Oat Bar 1
Request: Question 2 from client 
Response: This is response for question 2
Product: Oat Bar 1
Request: Question 3 from client
Response: 
Best regards,")</f>
        <v>Dear Client,
Here is the status of your current requests:
Product: Oat Bar 1
Request: Question 2 from client 
Response: This is response for question 2
Product: Oat Bar 1
Request: Question 3 from client
Response: 
Best regards,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74.25"/>
    <col customWidth="1" min="3" max="3" width="57.88"/>
    <col customWidth="1" min="4" max="25" width="80.0"/>
  </cols>
  <sheetData>
    <row r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25" t="s">
        <v>33</v>
      </c>
      <c r="B2" s="25" t="s">
        <v>34</v>
      </c>
      <c r="C2" s="25" t="s">
        <v>35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26" t="s">
        <v>19</v>
      </c>
      <c r="B3" s="26" t="s">
        <v>36</v>
      </c>
      <c r="C3" s="26" t="s">
        <v>37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>
      <c r="A4" s="26" t="s">
        <v>25</v>
      </c>
      <c r="B4" s="26" t="s">
        <v>38</v>
      </c>
      <c r="C4" s="26" t="s">
        <v>39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>
      <c r="A5" s="26" t="s">
        <v>40</v>
      </c>
      <c r="B5" s="26" t="s">
        <v>41</v>
      </c>
      <c r="C5" s="26" t="s">
        <v>42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>
      <c r="A6" s="26" t="s">
        <v>43</v>
      </c>
      <c r="B6" s="26" t="s">
        <v>44</v>
      </c>
      <c r="C6" s="26" t="s">
        <v>45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>
      <c r="A7" s="26" t="s">
        <v>46</v>
      </c>
      <c r="B7" s="26" t="s">
        <v>47</v>
      </c>
      <c r="C7" s="26" t="s">
        <v>48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>
      <c r="A8" s="26" t="s">
        <v>49</v>
      </c>
      <c r="B8" s="26" t="s">
        <v>50</v>
      </c>
      <c r="C8" s="26" t="s">
        <v>51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>
      <c r="A9" s="26" t="s">
        <v>52</v>
      </c>
      <c r="B9" s="26" t="s">
        <v>53</v>
      </c>
      <c r="C9" s="26" t="s">
        <v>54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>
      <c r="A10" s="26" t="s">
        <v>55</v>
      </c>
      <c r="B10" s="26" t="s">
        <v>56</v>
      </c>
      <c r="C10" s="26" t="s">
        <v>57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>
      <c r="A11" s="26" t="s">
        <v>58</v>
      </c>
      <c r="B11" s="26" t="s">
        <v>59</v>
      </c>
      <c r="C11" s="26" t="s">
        <v>60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</row>
  </sheetData>
  <drawing r:id="rId1"/>
</worksheet>
</file>